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CReate file\ConfigFiles\"/>
    </mc:Choice>
  </mc:AlternateContent>
  <xr:revisionPtr revIDLastSave="0" documentId="13_ncr:1_{2CFD875B-FBE8-46CF-B7F4-1E8DA44EA61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1" l="1" a="1"/>
  <c r="D23" i="1" s="1"/>
  <c r="D39" i="1" a="1"/>
  <c r="D39" i="1" s="1"/>
  <c r="D38" i="1" a="1"/>
  <c r="D38" i="1" s="1"/>
  <c r="D37" i="1" a="1"/>
  <c r="D37" i="1" s="1"/>
  <c r="D36" i="1" a="1"/>
  <c r="D36" i="1" s="1"/>
  <c r="D35" i="1" a="1"/>
  <c r="D35" i="1" s="1"/>
  <c r="D34" i="1" a="1"/>
  <c r="D34" i="1" s="1"/>
  <c r="D33" i="1" a="1"/>
  <c r="D33" i="1" s="1"/>
  <c r="D32" i="1" a="1"/>
  <c r="D32" i="1" s="1"/>
  <c r="D31" i="1" a="1"/>
  <c r="D31" i="1" s="1"/>
  <c r="D30" i="1" a="1"/>
  <c r="D30" i="1" s="1"/>
  <c r="D29" i="1" a="1"/>
  <c r="D29" i="1" s="1"/>
  <c r="D28" i="1" a="1"/>
  <c r="D28" i="1" s="1"/>
  <c r="D27" i="1" a="1"/>
  <c r="D27" i="1" s="1"/>
  <c r="D26" i="1" a="1"/>
  <c r="D26" i="1" s="1"/>
  <c r="D25" i="1" a="1"/>
  <c r="D25" i="1" s="1"/>
  <c r="D24" i="1" a="1"/>
  <c r="D2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<sst xmlns="http://schemas.openxmlformats.org/spreadsheetml/2006/main" count="138" uniqueCount="104">
  <si>
    <t>CSM1</t>
  </si>
  <si>
    <t>CSM2</t>
  </si>
  <si>
    <t>PAR11</t>
  </si>
  <si>
    <t>PAR12</t>
  </si>
  <si>
    <t>PAR21</t>
  </si>
  <si>
    <t>PAR22</t>
  </si>
  <si>
    <t>BTM</t>
  </si>
  <si>
    <t>FOF</t>
  </si>
  <si>
    <t>ALS1</t>
  </si>
  <si>
    <t>ALS2</t>
  </si>
  <si>
    <t>NCS1</t>
  </si>
  <si>
    <t>NCS2</t>
  </si>
  <si>
    <t>VB1</t>
  </si>
  <si>
    <t>VB2</t>
  </si>
  <si>
    <t>VB3</t>
  </si>
  <si>
    <t>VB4</t>
  </si>
  <si>
    <t>PANEL PC</t>
  </si>
  <si>
    <t>IP</t>
  </si>
  <si>
    <t>IP ALIAS</t>
  </si>
  <si>
    <t>10.50.89.40</t>
  </si>
  <si>
    <t>10.50.89.90</t>
  </si>
  <si>
    <t>10.50.89.91</t>
  </si>
  <si>
    <t>10.50.89.92</t>
  </si>
  <si>
    <t>10.50.89.93</t>
  </si>
  <si>
    <t>ETH1</t>
  </si>
  <si>
    <t>ETH2</t>
  </si>
  <si>
    <t>ETH3</t>
  </si>
  <si>
    <t>ETH4</t>
  </si>
  <si>
    <t>192.168.11.1</t>
  </si>
  <si>
    <t>192.168.12.1</t>
  </si>
  <si>
    <t>192.168.13.1</t>
  </si>
  <si>
    <t>192.168.14.1</t>
  </si>
  <si>
    <t>VB5</t>
  </si>
  <si>
    <t>10.50.89.41</t>
  </si>
  <si>
    <t>10.50.89.42</t>
  </si>
  <si>
    <t>10.50.89.43</t>
  </si>
  <si>
    <t>10.50.89.45</t>
  </si>
  <si>
    <t>10.50.89.94</t>
  </si>
  <si>
    <t>10.50.89.95</t>
  </si>
  <si>
    <t>10.50.89.96</t>
  </si>
  <si>
    <t>10.50.89.97</t>
  </si>
  <si>
    <t>192.168.21.1</t>
  </si>
  <si>
    <t>192.168.22.1</t>
  </si>
  <si>
    <t>192.168.23.1</t>
  </si>
  <si>
    <t>192.168.24.1</t>
  </si>
  <si>
    <t>192.168.31.1</t>
  </si>
  <si>
    <t>192.168.32.1</t>
  </si>
  <si>
    <t>192.168.33.1</t>
  </si>
  <si>
    <t>192.168.34.1</t>
  </si>
  <si>
    <t>192.168.41.1</t>
  </si>
  <si>
    <t>192.168.42.1</t>
  </si>
  <si>
    <t>192.168.43.1</t>
  </si>
  <si>
    <t>192.168.44.4</t>
  </si>
  <si>
    <t>192.168.51.1</t>
  </si>
  <si>
    <t>192.168.52.1</t>
  </si>
  <si>
    <t>192.168.53.1</t>
  </si>
  <si>
    <t>192.168.54.1</t>
  </si>
  <si>
    <t>DHCP</t>
  </si>
  <si>
    <t>10.50.89.98</t>
  </si>
  <si>
    <t>10.50.89.99</t>
  </si>
  <si>
    <t>10.50.89.100</t>
  </si>
  <si>
    <t>10.50.89.101</t>
  </si>
  <si>
    <t>10.50.89.102</t>
  </si>
  <si>
    <t>10.50.89.103</t>
  </si>
  <si>
    <t>10.50.89.104</t>
  </si>
  <si>
    <t>10.50.89.105</t>
  </si>
  <si>
    <t>STATION LIST</t>
  </si>
  <si>
    <t>VB</t>
  </si>
  <si>
    <t>PAR31</t>
  </si>
  <si>
    <t>PAR32</t>
  </si>
  <si>
    <t>CRP1</t>
  </si>
  <si>
    <t>CRP2</t>
  </si>
  <si>
    <t>NR</t>
  </si>
  <si>
    <t xml:space="preserve">VB NR: </t>
  </si>
  <si>
    <t>M. Speed</t>
  </si>
  <si>
    <t>C1 grippers</t>
  </si>
  <si>
    <t>C1 clamps</t>
  </si>
  <si>
    <t>Leak piston</t>
  </si>
  <si>
    <t xml:space="preserve">PLC </t>
  </si>
  <si>
    <t>Siemens</t>
  </si>
  <si>
    <t>Carousel 1 stations</t>
  </si>
  <si>
    <t>carousel 2 stations</t>
  </si>
  <si>
    <t>Leak/Hvld</t>
  </si>
  <si>
    <t>CSM</t>
  </si>
  <si>
    <t>PAR</t>
  </si>
  <si>
    <t>LSD</t>
  </si>
  <si>
    <t>LUP</t>
  </si>
  <si>
    <t>LHE</t>
  </si>
  <si>
    <t>SINGLE STATIONS</t>
  </si>
  <si>
    <t>NCS</t>
  </si>
  <si>
    <t>ALS</t>
  </si>
  <si>
    <t>CRP</t>
  </si>
  <si>
    <t>LBT</t>
  </si>
  <si>
    <t>AMT</t>
  </si>
  <si>
    <t>CPG</t>
  </si>
  <si>
    <t>CAP</t>
  </si>
  <si>
    <t>CSD</t>
  </si>
  <si>
    <t>PGR</t>
  </si>
  <si>
    <t>NSH</t>
  </si>
  <si>
    <t>FLG</t>
  </si>
  <si>
    <t>PanelPC</t>
  </si>
  <si>
    <t>VLK</t>
  </si>
  <si>
    <t>HLD</t>
  </si>
  <si>
    <t>10.50.89.160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</si>
</sst>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17" xfId="0" applyFill="1" applyBorder="1"/>
    <xf numFmtId="0" fontId="0" fillId="2" borderId="19" xfId="0" applyFill="1" applyBorder="1"/>
    <xf numFmtId="0" fontId="2" fillId="3" borderId="5" xfId="0" applyFont="1" applyFill="1" applyBorder="1"/>
    <xf numFmtId="0" fontId="2" fillId="3" borderId="7" xfId="0" applyFont="1" applyFill="1" applyBorder="1"/>
    <xf numFmtId="0" fontId="2" fillId="3" borderId="9" xfId="0" applyFont="1" applyFill="1" applyBorder="1"/>
    <xf numFmtId="0" fontId="2" fillId="3" borderId="14" xfId="0" applyFont="1" applyFill="1" applyBorder="1"/>
    <xf numFmtId="0" fontId="2" fillId="3" borderId="1" xfId="0" applyFont="1" applyFill="1" applyBorder="1"/>
    <xf numFmtId="0" fontId="2" fillId="3" borderId="12" xfId="0" applyFont="1" applyFill="1" applyBorder="1"/>
    <xf numFmtId="0" fontId="2" fillId="3" borderId="16" xfId="0" applyFont="1" applyFill="1" applyBorder="1"/>
    <xf numFmtId="0" fontId="2" fillId="3" borderId="3" xfId="0" applyFont="1" applyFill="1" applyBorder="1"/>
    <xf numFmtId="0" fontId="2" fillId="3" borderId="11" xfId="0" applyFont="1" applyFill="1" applyBorder="1"/>
    <xf numFmtId="0" fontId="2" fillId="3" borderId="18" xfId="0" applyFont="1" applyFill="1" applyBorder="1"/>
    <xf numFmtId="0" fontId="2" fillId="3" borderId="20" xfId="0" applyFont="1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</xdr:colOff>
          <xdr:row>20</xdr:row>
          <xdr:rowOff>114300</xdr:rowOff>
        </xdr:from>
        <xdr:to>
          <xdr:col>7</xdr:col>
          <xdr:colOff>335280</xdr:colOff>
          <xdr:row>22</xdr:row>
          <xdr:rowOff>53340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Q48"/>
  <sheetViews>
    <sheetView tabSelected="1" workbookViewId="0">
      <selection activeCell="L7" sqref="L7"/>
    </sheetView>
  </sheetViews>
  <sheetFormatPr defaultRowHeight="14.4" x14ac:dyDescent="0.3"/>
  <cols>
    <col min="1" max="1" width="6.21875" customWidth="1"/>
    <col min="2" max="2" width="15.77734375" customWidth="1"/>
    <col min="3" max="3" width="7.6640625" customWidth="1"/>
    <col min="4" max="4" width="13" customWidth="1"/>
    <col min="5" max="5" width="10.21875" customWidth="1"/>
    <col min="6" max="6" width="13.21875" customWidth="1"/>
    <col min="7" max="7" width="10.21875" customWidth="1"/>
    <col min="8" max="8" width="13.21875" customWidth="1"/>
    <col min="9" max="9" width="10.21875" customWidth="1"/>
    <col min="10" max="10" width="13.88671875" customWidth="1"/>
    <col min="11" max="11" width="10.21875" customWidth="1"/>
    <col min="12" max="12" width="14.77734375" customWidth="1"/>
  </cols>
  <sheetData>
    <row r="4" spans="1:12" ht="15" thickBot="1" x14ac:dyDescent="0.35">
      <c r="A4" s="24" t="s">
        <v>12</v>
      </c>
      <c r="B4" s="24"/>
      <c r="C4" s="28" t="s">
        <v>13</v>
      </c>
      <c r="D4" s="28"/>
      <c r="E4" s="28" t="s">
        <v>14</v>
      </c>
      <c r="F4" s="28"/>
      <c r="G4" s="28" t="s">
        <v>15</v>
      </c>
      <c r="H4" s="28"/>
      <c r="I4" s="28" t="s">
        <v>32</v>
      </c>
      <c r="J4" s="28"/>
      <c r="K4" s="28" t="s">
        <v>16</v>
      </c>
      <c r="L4" s="28"/>
    </row>
    <row r="5" spans="1:12" ht="15" thickBot="1" x14ac:dyDescent="0.35">
      <c r="A5" s="3" t="s">
        <v>17</v>
      </c>
      <c r="B5" s="11" t="s">
        <v>19</v>
      </c>
      <c r="C5" s="2" t="s">
        <v>17</v>
      </c>
      <c r="D5" s="15" t="s">
        <v>33</v>
      </c>
      <c r="E5" s="4" t="s">
        <v>17</v>
      </c>
      <c r="F5" s="18" t="s">
        <v>34</v>
      </c>
      <c r="G5" s="4" t="s">
        <v>17</v>
      </c>
      <c r="H5" s="18" t="s">
        <v>35</v>
      </c>
      <c r="I5" s="4" t="s">
        <v>17</v>
      </c>
      <c r="J5" s="18"/>
      <c r="K5" s="4" t="s">
        <v>17</v>
      </c>
      <c r="L5" s="18" t="s">
        <v>36</v>
      </c>
    </row>
    <row r="6" spans="1:12" x14ac:dyDescent="0.3">
      <c r="A6" s="25" t="s">
        <v>18</v>
      </c>
      <c r="B6" s="12" t="s">
        <v>20</v>
      </c>
      <c r="C6" s="29" t="s">
        <v>18</v>
      </c>
      <c r="D6" s="16" t="s">
        <v>37</v>
      </c>
      <c r="E6" s="31" t="s">
        <v>18</v>
      </c>
      <c r="F6" s="12" t="s">
        <v>58</v>
      </c>
      <c r="G6" s="31" t="s">
        <v>18</v>
      </c>
      <c r="H6" s="12" t="s">
        <v>62</v>
      </c>
      <c r="I6" s="31" t="s">
        <v>18</v>
      </c>
      <c r="J6" s="12"/>
      <c r="K6" s="31" t="s">
        <v>18</v>
      </c>
      <c r="L6" s="12" t="s">
        <v>103</v>
      </c>
    </row>
    <row r="7" spans="1:12" x14ac:dyDescent="0.3">
      <c r="A7" s="26"/>
      <c r="B7" s="13" t="s">
        <v>21</v>
      </c>
      <c r="C7" s="29"/>
      <c r="D7" s="16" t="s">
        <v>38</v>
      </c>
      <c r="E7" s="32"/>
      <c r="F7" s="13" t="s">
        <v>59</v>
      </c>
      <c r="G7" s="32"/>
      <c r="H7" s="13" t="s">
        <v>63</v>
      </c>
      <c r="I7" s="32"/>
      <c r="J7" s="13"/>
      <c r="K7" s="32"/>
      <c r="L7" s="13"/>
    </row>
    <row r="8" spans="1:12" x14ac:dyDescent="0.3">
      <c r="A8" s="26"/>
      <c r="B8" s="13" t="s">
        <v>22</v>
      </c>
      <c r="C8" s="29"/>
      <c r="D8" s="16" t="s">
        <v>39</v>
      </c>
      <c r="E8" s="32"/>
      <c r="F8" s="13" t="s">
        <v>60</v>
      </c>
      <c r="G8" s="32"/>
      <c r="H8" s="13" t="s">
        <v>64</v>
      </c>
      <c r="I8" s="32"/>
      <c r="J8" s="13"/>
      <c r="K8" s="32"/>
      <c r="L8" s="13"/>
    </row>
    <row r="9" spans="1:12" x14ac:dyDescent="0.3">
      <c r="A9" s="26"/>
      <c r="B9" s="13" t="s">
        <v>23</v>
      </c>
      <c r="C9" s="29"/>
      <c r="D9" s="16" t="s">
        <v>40</v>
      </c>
      <c r="E9" s="32"/>
      <c r="F9" s="13" t="s">
        <v>61</v>
      </c>
      <c r="G9" s="32"/>
      <c r="H9" s="13" t="s">
        <v>65</v>
      </c>
      <c r="I9" s="32"/>
      <c r="J9" s="13"/>
      <c r="K9" s="32"/>
      <c r="L9" s="13"/>
    </row>
    <row r="10" spans="1:12" x14ac:dyDescent="0.3">
      <c r="A10" s="26"/>
      <c r="B10" s="13"/>
      <c r="C10" s="29"/>
      <c r="D10" s="16"/>
      <c r="E10" s="32"/>
      <c r="F10" s="13"/>
      <c r="G10" s="32"/>
      <c r="H10" s="13"/>
      <c r="I10" s="32"/>
      <c r="J10" s="13"/>
      <c r="K10" s="32"/>
      <c r="L10" s="13"/>
    </row>
    <row r="11" spans="1:12" x14ac:dyDescent="0.3">
      <c r="A11" s="27"/>
      <c r="B11" s="14"/>
      <c r="C11" s="30"/>
      <c r="D11" s="17"/>
      <c r="E11" s="33"/>
      <c r="F11" s="14"/>
      <c r="G11" s="33"/>
      <c r="H11" s="14"/>
      <c r="I11" s="33"/>
      <c r="J11" s="14"/>
      <c r="K11" s="33"/>
      <c r="L11" s="14"/>
    </row>
    <row r="12" spans="1:12" x14ac:dyDescent="0.3">
      <c r="A12" s="27"/>
      <c r="B12" s="14"/>
      <c r="C12" s="30"/>
      <c r="D12" s="17"/>
      <c r="E12" s="33"/>
      <c r="F12" s="14"/>
      <c r="G12" s="33"/>
      <c r="H12" s="14"/>
      <c r="I12" s="33"/>
      <c r="J12" s="14"/>
      <c r="K12" s="33"/>
      <c r="L12" s="14"/>
    </row>
    <row r="13" spans="1:12" ht="15" thickBot="1" x14ac:dyDescent="0.35">
      <c r="A13" s="27"/>
      <c r="B13" s="14"/>
      <c r="C13" s="30"/>
      <c r="D13" s="17"/>
      <c r="E13" s="33"/>
      <c r="F13" s="14"/>
      <c r="G13" s="33"/>
      <c r="H13" s="14"/>
      <c r="I13" s="33"/>
      <c r="J13" s="14"/>
      <c r="K13" s="33"/>
      <c r="L13" s="14"/>
    </row>
    <row r="14" spans="1:12" x14ac:dyDescent="0.3">
      <c r="A14" s="6" t="s">
        <v>24</v>
      </c>
      <c r="B14" s="12" t="s">
        <v>28</v>
      </c>
      <c r="C14" s="9" t="s">
        <v>24</v>
      </c>
      <c r="D14" s="20" t="s">
        <v>41</v>
      </c>
      <c r="E14" s="6" t="s">
        <v>24</v>
      </c>
      <c r="F14" s="12" t="s">
        <v>45</v>
      </c>
      <c r="G14" s="9" t="s">
        <v>24</v>
      </c>
      <c r="H14" s="20" t="s">
        <v>49</v>
      </c>
      <c r="I14" s="6" t="s">
        <v>24</v>
      </c>
      <c r="J14" s="12" t="s">
        <v>53</v>
      </c>
      <c r="K14" s="6" t="s">
        <v>24</v>
      </c>
      <c r="L14" s="12" t="s">
        <v>57</v>
      </c>
    </row>
    <row r="15" spans="1:12" x14ac:dyDescent="0.3">
      <c r="A15" s="7" t="s">
        <v>25</v>
      </c>
      <c r="B15" s="13" t="s">
        <v>29</v>
      </c>
      <c r="C15" s="5" t="s">
        <v>25</v>
      </c>
      <c r="D15" s="16" t="s">
        <v>42</v>
      </c>
      <c r="E15" s="7" t="s">
        <v>25</v>
      </c>
      <c r="F15" s="13" t="s">
        <v>46</v>
      </c>
      <c r="G15" s="5" t="s">
        <v>25</v>
      </c>
      <c r="H15" s="16" t="s">
        <v>50</v>
      </c>
      <c r="I15" s="7" t="s">
        <v>25</v>
      </c>
      <c r="J15" s="13" t="s">
        <v>54</v>
      </c>
      <c r="K15" s="7" t="s">
        <v>25</v>
      </c>
      <c r="L15" s="13"/>
    </row>
    <row r="16" spans="1:12" x14ac:dyDescent="0.3">
      <c r="A16" s="7" t="s">
        <v>26</v>
      </c>
      <c r="B16" s="13" t="s">
        <v>30</v>
      </c>
      <c r="C16" s="5" t="s">
        <v>26</v>
      </c>
      <c r="D16" s="16" t="s">
        <v>43</v>
      </c>
      <c r="E16" s="7" t="s">
        <v>26</v>
      </c>
      <c r="F16" s="13" t="s">
        <v>47</v>
      </c>
      <c r="G16" s="5" t="s">
        <v>26</v>
      </c>
      <c r="H16" s="16" t="s">
        <v>51</v>
      </c>
      <c r="I16" s="7" t="s">
        <v>26</v>
      </c>
      <c r="J16" s="13" t="s">
        <v>55</v>
      </c>
      <c r="K16" s="7" t="s">
        <v>26</v>
      </c>
      <c r="L16" s="13"/>
    </row>
    <row r="17" spans="1:17" ht="15" thickBot="1" x14ac:dyDescent="0.35">
      <c r="A17" s="8" t="s">
        <v>27</v>
      </c>
      <c r="B17" s="19" t="s">
        <v>31</v>
      </c>
      <c r="C17" s="10" t="s">
        <v>27</v>
      </c>
      <c r="D17" s="21" t="s">
        <v>44</v>
      </c>
      <c r="E17" s="8" t="s">
        <v>27</v>
      </c>
      <c r="F17" s="19" t="s">
        <v>48</v>
      </c>
      <c r="G17" s="10" t="s">
        <v>27</v>
      </c>
      <c r="H17" s="21" t="s">
        <v>52</v>
      </c>
      <c r="I17" s="8" t="s">
        <v>27</v>
      </c>
      <c r="J17" s="19" t="s">
        <v>56</v>
      </c>
      <c r="K17" s="8" t="s">
        <v>27</v>
      </c>
      <c r="L17" s="19"/>
    </row>
    <row r="21" spans="1:17" x14ac:dyDescent="0.3">
      <c r="Q21">
        <v>1</v>
      </c>
    </row>
    <row r="22" spans="1:17" x14ac:dyDescent="0.3">
      <c r="A22" s="1" t="s">
        <v>72</v>
      </c>
      <c r="B22" s="1" t="s">
        <v>66</v>
      </c>
      <c r="C22" s="1" t="s">
        <v>67</v>
      </c>
      <c r="E22" s="1" t="s">
        <v>73</v>
      </c>
      <c r="F22">
        <v>4</v>
      </c>
      <c r="Q22">
        <v>2</v>
      </c>
    </row>
    <row r="23" spans="1:17" x14ac:dyDescent="0.3">
      <c r="A23" s="22">
        <v>11</v>
      </c>
      <c r="B23" s="22" t="s">
        <v>6</v>
      </c>
      <c r="C23" s="22">
        <v>2</v>
      </c>
      <c r="D23" t="str" cm="1">
        <f t="array" ref="D23">IF(SUMPRODUCT(--ISNUMBER(SEARCH(LEFT(B23, 3), Sheet2!A3:A24))), "c1", "")</f>
        <v/>
      </c>
      <c r="E23" t="s">
        <v>74</v>
      </c>
      <c r="F23">
        <v>24000</v>
      </c>
      <c r="Q23">
        <v>3</v>
      </c>
    </row>
    <row r="24" spans="1:17" x14ac:dyDescent="0.3">
      <c r="A24" s="22">
        <v>21</v>
      </c>
      <c r="B24" s="22" t="s">
        <v>0</v>
      </c>
      <c r="C24" s="22">
        <v>1</v>
      </c>
      <c r="D24" t="str" cm="1">
        <f t="array" ref="D24">IF(SUMPRODUCT(--ISNUMBER(SEARCH(LEFT(B24, 3), Sheet2!A3:A25))), "c1", "")</f>
        <v>c1</v>
      </c>
      <c r="E24" t="s">
        <v>75</v>
      </c>
      <c r="F24">
        <v>32</v>
      </c>
      <c r="Q24">
        <v>4</v>
      </c>
    </row>
    <row r="25" spans="1:17" x14ac:dyDescent="0.3">
      <c r="A25" s="22">
        <v>22</v>
      </c>
      <c r="B25" s="22" t="s">
        <v>1</v>
      </c>
      <c r="C25" s="22">
        <v>1</v>
      </c>
      <c r="D25" t="str" cm="1">
        <f t="array" ref="D25">IF(SUMPRODUCT(--ISNUMBER(SEARCH(LEFT(B25, 3), Sheet2!A3:A26))), "c1", "")</f>
        <v>c1</v>
      </c>
      <c r="E25" t="s">
        <v>76</v>
      </c>
      <c r="Q25">
        <v>5</v>
      </c>
    </row>
    <row r="26" spans="1:17" x14ac:dyDescent="0.3">
      <c r="A26" s="22">
        <v>31</v>
      </c>
      <c r="B26" s="22" t="s">
        <v>2</v>
      </c>
      <c r="C26" s="22">
        <v>1</v>
      </c>
      <c r="D26" t="str" cm="1">
        <f t="array" ref="D26">IF(SUMPRODUCT(--ISNUMBER(SEARCH(LEFT(B26, 3), Sheet2!A3:A27))), "c1", "")</f>
        <v>c1</v>
      </c>
      <c r="E26" t="s">
        <v>77</v>
      </c>
      <c r="F26">
        <v>32</v>
      </c>
      <c r="Q26" t="s">
        <v>100</v>
      </c>
    </row>
    <row r="27" spans="1:17" x14ac:dyDescent="0.3">
      <c r="A27" s="22">
        <v>32</v>
      </c>
      <c r="B27" s="22" t="s">
        <v>3</v>
      </c>
      <c r="C27" s="22">
        <v>1</v>
      </c>
      <c r="D27" t="str" cm="1">
        <f t="array" ref="D27">IF(SUMPRODUCT(--ISNUMBER(SEARCH(LEFT(B27, 3), Sheet2!A3:A28))), "c1", "")</f>
        <v>c1</v>
      </c>
      <c r="E27" t="s">
        <v>78</v>
      </c>
      <c r="F27" t="s">
        <v>79</v>
      </c>
    </row>
    <row r="28" spans="1:17" x14ac:dyDescent="0.3">
      <c r="A28" s="22">
        <v>41</v>
      </c>
      <c r="B28" s="22" t="s">
        <v>4</v>
      </c>
      <c r="C28" s="22">
        <v>2</v>
      </c>
      <c r="D28" t="str" cm="1">
        <f t="array" ref="D28">IF(SUMPRODUCT(--ISNUMBER(SEARCH(LEFT(B28, 3), Sheet2!A3:A29))), "c1", "")</f>
        <v>c1</v>
      </c>
    </row>
    <row r="29" spans="1:17" x14ac:dyDescent="0.3">
      <c r="A29" s="22">
        <v>42</v>
      </c>
      <c r="B29" s="22" t="s">
        <v>5</v>
      </c>
      <c r="C29" s="22">
        <v>2</v>
      </c>
      <c r="D29" t="str" cm="1">
        <f t="array" ref="D29">IF(SUMPRODUCT(--ISNUMBER(SEARCH(LEFT(B29, 3), Sheet2!A3:A30))), "c1", "")</f>
        <v>c1</v>
      </c>
    </row>
    <row r="30" spans="1:17" x14ac:dyDescent="0.3">
      <c r="A30" s="22">
        <v>51</v>
      </c>
      <c r="B30" s="22" t="s">
        <v>68</v>
      </c>
      <c r="C30" s="22">
        <v>4</v>
      </c>
      <c r="D30" t="str" cm="1">
        <f t="array" ref="D30">IF(SUMPRODUCT(--ISNUMBER(SEARCH(LEFT(B30, 3), Sheet2!A3:A31))), "c1", "")</f>
        <v>c1</v>
      </c>
      <c r="I30" s="34"/>
    </row>
    <row r="31" spans="1:17" x14ac:dyDescent="0.3">
      <c r="A31" s="22">
        <v>52</v>
      </c>
      <c r="B31" s="22" t="s">
        <v>69</v>
      </c>
      <c r="C31" s="22">
        <v>4</v>
      </c>
      <c r="D31" t="str" cm="1">
        <f t="array" ref="D31">IF(SUMPRODUCT(--ISNUMBER(SEARCH(LEFT(B31, 3), Sheet2!A3:A32))), "c1", "")</f>
        <v>c1</v>
      </c>
      <c r="I31" s="35"/>
    </row>
    <row r="32" spans="1:17" x14ac:dyDescent="0.3">
      <c r="A32" s="22">
        <v>61</v>
      </c>
      <c r="B32" s="22" t="s">
        <v>70</v>
      </c>
      <c r="C32" s="22">
        <v>4</v>
      </c>
      <c r="D32" t="str" cm="1">
        <f t="array" ref="D32">IF(SUMPRODUCT(--ISNUMBER(SEARCH(LEFT(B32, 3), Sheet2!A3:A33))), "c1", "")</f>
        <v/>
      </c>
      <c r="I32" s="35"/>
    </row>
    <row r="33" spans="1:9" x14ac:dyDescent="0.3">
      <c r="A33" s="22">
        <v>62</v>
      </c>
      <c r="B33" s="22" t="s">
        <v>71</v>
      </c>
      <c r="C33" s="22">
        <v>4</v>
      </c>
      <c r="D33" t="str" cm="1">
        <f t="array" ref="D33">IF(SUMPRODUCT(--ISNUMBER(SEARCH(LEFT(B33, 3), Sheet2!A3:A34))), "c1", "")</f>
        <v/>
      </c>
      <c r="I33" s="35"/>
    </row>
    <row r="34" spans="1:9" x14ac:dyDescent="0.3">
      <c r="A34" s="22">
        <v>71</v>
      </c>
      <c r="B34" s="22" t="s">
        <v>8</v>
      </c>
      <c r="C34" s="22">
        <v>3</v>
      </c>
      <c r="D34" t="str" cm="1">
        <f t="array" ref="D34">IF(SUMPRODUCT(--ISNUMBER(SEARCH(LEFT(B34, 3), Sheet2!A3:A35))), "c1", "")</f>
        <v/>
      </c>
      <c r="I34" s="35"/>
    </row>
    <row r="35" spans="1:9" x14ac:dyDescent="0.3">
      <c r="A35" s="22">
        <v>72</v>
      </c>
      <c r="B35" s="22" t="s">
        <v>9</v>
      </c>
      <c r="C35" s="22">
        <v>3</v>
      </c>
      <c r="D35" t="str" cm="1">
        <f t="array" ref="D35">IF(SUMPRODUCT(--ISNUMBER(SEARCH(LEFT(B35, 3), Sheet2!A3:A36))), "c1", "")</f>
        <v/>
      </c>
      <c r="I35" s="35"/>
    </row>
    <row r="36" spans="1:9" x14ac:dyDescent="0.3">
      <c r="A36" s="22">
        <v>81</v>
      </c>
      <c r="B36" s="22" t="s">
        <v>10</v>
      </c>
      <c r="C36" s="22">
        <v>3</v>
      </c>
      <c r="D36" t="str" cm="1">
        <f t="array" ref="D36">IF(SUMPRODUCT(--ISNUMBER(SEARCH(LEFT(B36, 3), Sheet2!A3:A37))), "c1", "")</f>
        <v/>
      </c>
      <c r="I36" s="35"/>
    </row>
    <row r="37" spans="1:9" x14ac:dyDescent="0.3">
      <c r="A37" s="22">
        <v>82</v>
      </c>
      <c r="B37" s="22" t="s">
        <v>11</v>
      </c>
      <c r="C37" s="22">
        <v>3</v>
      </c>
      <c r="D37" t="str" cm="1">
        <f t="array" ref="D37">IF(SUMPRODUCT(--ISNUMBER(SEARCH(LEFT(B37, 3), Sheet2!A3:A38))), "c1", "")</f>
        <v/>
      </c>
      <c r="I37" s="35"/>
    </row>
    <row r="38" spans="1:9" x14ac:dyDescent="0.3">
      <c r="A38" s="22">
        <v>91</v>
      </c>
      <c r="B38" s="22" t="s">
        <v>7</v>
      </c>
      <c r="C38" s="22">
        <v>2</v>
      </c>
      <c r="D38" t="str" cm="1">
        <f t="array" ref="D38">IF(SUMPRODUCT(--ISNUMBER(SEARCH(LEFT(B38, 3), Sheet2!A3:A39))), "c1", "")</f>
        <v/>
      </c>
      <c r="I38" s="35"/>
    </row>
    <row r="39" spans="1:9" x14ac:dyDescent="0.3">
      <c r="A39" s="22">
        <v>10</v>
      </c>
      <c r="B39" s="22" t="s">
        <v>101</v>
      </c>
      <c r="C39" s="22" t="s">
        <v>100</v>
      </c>
      <c r="D39" t="str" cm="1">
        <f t="array" ref="D39">IF(SUMPRODUCT(--ISNUMBER(SEARCH(LEFT(B39, 3), Sheet2!A3:A40))), "c1", "")</f>
        <v/>
      </c>
      <c r="I39" s="35"/>
    </row>
    <row r="40" spans="1:9" x14ac:dyDescent="0.3">
      <c r="A40" s="23"/>
      <c r="B40" s="23"/>
      <c r="C40" s="23"/>
      <c r="I40" s="35"/>
    </row>
    <row r="41" spans="1:9" x14ac:dyDescent="0.3">
      <c r="A41" s="23"/>
      <c r="B41" s="23"/>
      <c r="C41" s="23"/>
      <c r="I41" s="35"/>
    </row>
    <row r="42" spans="1:9" x14ac:dyDescent="0.3">
      <c r="A42" s="23"/>
      <c r="B42" s="23"/>
      <c r="C42" s="23"/>
      <c r="I42" s="35"/>
    </row>
    <row r="43" spans="1:9" x14ac:dyDescent="0.3">
      <c r="A43" s="23"/>
      <c r="B43" s="23"/>
      <c r="C43" s="23"/>
      <c r="I43" s="35"/>
    </row>
    <row r="44" spans="1:9" x14ac:dyDescent="0.3">
      <c r="A44" s="23"/>
      <c r="B44" s="23"/>
      <c r="C44" s="23"/>
      <c r="I44" s="35"/>
    </row>
    <row r="45" spans="1:9" x14ac:dyDescent="0.3">
      <c r="A45" s="23"/>
      <c r="B45" s="23"/>
      <c r="C45" s="23"/>
      <c r="I45" s="35"/>
    </row>
    <row r="46" spans="1:9" x14ac:dyDescent="0.3">
      <c r="I46" s="35"/>
    </row>
    <row r="47" spans="1:9" x14ac:dyDescent="0.3">
      <c r="I47" s="35"/>
    </row>
    <row r="48" spans="1:9" x14ac:dyDescent="0.3">
      <c r="I48" s="34"/>
    </row>
  </sheetData>
  <mergeCells count="12">
    <mergeCell ref="G4:H4"/>
    <mergeCell ref="G6:G13"/>
    <mergeCell ref="I4:J4"/>
    <mergeCell ref="I6:I13"/>
    <mergeCell ref="K4:L4"/>
    <mergeCell ref="K6:K13"/>
    <mergeCell ref="A4:B4"/>
    <mergeCell ref="A6:A13"/>
    <mergeCell ref="C4:D4"/>
    <mergeCell ref="C6:C13"/>
    <mergeCell ref="E4:F4"/>
    <mergeCell ref="E6:E13"/>
  </mergeCells>
  <phoneticPr fontId="1" type="noConversion"/>
  <dataValidations count="2">
    <dataValidation type="list" allowBlank="1" showInputMessage="1" showErrorMessage="1" sqref="F27" xr:uid="{00000000-0002-0000-0000-000000000000}">
      <formula1>"Beckhoff, Siemens"</formula1>
    </dataValidation>
    <dataValidation type="list" allowBlank="1" showInputMessage="1" showErrorMessage="1" sqref="C23:C39 I31" xr:uid="{6ABCB523-1BDE-47EA-9B65-0364398482CF}">
      <formula1>$Q$21:$Q$26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99060</xdr:colOff>
                <xdr:row>20</xdr:row>
                <xdr:rowOff>114300</xdr:rowOff>
              </from>
              <to>
                <xdr:col>7</xdr:col>
                <xdr:colOff>335280</xdr:colOff>
                <xdr:row>22</xdr:row>
                <xdr:rowOff>53340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4E8A6-F6D6-4CF6-9646-0067F8CD505C}">
  <dimension ref="A2:D25"/>
  <sheetViews>
    <sheetView topLeftCell="A2" workbookViewId="0">
      <selection activeCell="C5" sqref="C5"/>
    </sheetView>
  </sheetViews>
  <sheetFormatPr defaultRowHeight="14.4" x14ac:dyDescent="0.3"/>
  <cols>
    <col min="1" max="1" width="19.44140625" customWidth="1"/>
    <col min="2" max="2" width="17" customWidth="1"/>
    <col min="3" max="3" width="18.77734375" customWidth="1"/>
    <col min="4" max="4" width="20.44140625" customWidth="1"/>
  </cols>
  <sheetData>
    <row r="2" spans="1:4" x14ac:dyDescent="0.3">
      <c r="A2" s="23" t="s">
        <v>80</v>
      </c>
      <c r="B2" s="23" t="s">
        <v>81</v>
      </c>
      <c r="C2" s="23" t="s">
        <v>82</v>
      </c>
      <c r="D2" s="23" t="s">
        <v>88</v>
      </c>
    </row>
    <row r="3" spans="1:4" x14ac:dyDescent="0.3">
      <c r="A3" s="23" t="s">
        <v>83</v>
      </c>
      <c r="B3" s="23" t="s">
        <v>89</v>
      </c>
      <c r="C3" s="23" t="s">
        <v>101</v>
      </c>
      <c r="D3" s="23" t="s">
        <v>6</v>
      </c>
    </row>
    <row r="4" spans="1:4" x14ac:dyDescent="0.3">
      <c r="A4" s="23" t="s">
        <v>84</v>
      </c>
      <c r="B4" s="23" t="s">
        <v>90</v>
      </c>
      <c r="C4" s="23" t="s">
        <v>102</v>
      </c>
      <c r="D4" s="23" t="s">
        <v>92</v>
      </c>
    </row>
    <row r="5" spans="1:4" x14ac:dyDescent="0.3">
      <c r="A5" s="23" t="s">
        <v>85</v>
      </c>
      <c r="B5" s="23" t="s">
        <v>91</v>
      </c>
      <c r="C5" s="23"/>
      <c r="D5" s="23" t="s">
        <v>93</v>
      </c>
    </row>
    <row r="6" spans="1:4" x14ac:dyDescent="0.3">
      <c r="A6" s="23" t="s">
        <v>86</v>
      </c>
      <c r="B6" s="23" t="s">
        <v>96</v>
      </c>
      <c r="C6" s="23"/>
      <c r="D6" s="23" t="s">
        <v>94</v>
      </c>
    </row>
    <row r="7" spans="1:4" x14ac:dyDescent="0.3">
      <c r="A7" s="23" t="s">
        <v>87</v>
      </c>
      <c r="B7" s="23"/>
      <c r="C7" s="23"/>
      <c r="D7" s="23" t="s">
        <v>95</v>
      </c>
    </row>
    <row r="8" spans="1:4" x14ac:dyDescent="0.3">
      <c r="A8" s="23" t="s">
        <v>97</v>
      </c>
      <c r="B8" s="23"/>
      <c r="C8" s="23"/>
      <c r="D8" s="23" t="s">
        <v>99</v>
      </c>
    </row>
    <row r="9" spans="1:4" x14ac:dyDescent="0.3">
      <c r="A9" s="23" t="s">
        <v>98</v>
      </c>
      <c r="B9" s="23"/>
      <c r="C9" s="23"/>
      <c r="D9" s="23" t="s">
        <v>7</v>
      </c>
    </row>
    <row r="10" spans="1:4" x14ac:dyDescent="0.3">
      <c r="A10" s="23"/>
      <c r="B10" s="23"/>
      <c r="C10" s="23"/>
      <c r="D10" s="23"/>
    </row>
    <row r="11" spans="1:4" x14ac:dyDescent="0.3">
      <c r="A11" s="23"/>
      <c r="B11" s="23"/>
      <c r="C11" s="23"/>
      <c r="D11" s="23"/>
    </row>
    <row r="12" spans="1:4" x14ac:dyDescent="0.3">
      <c r="A12" s="23"/>
      <c r="B12" s="23"/>
      <c r="C12" s="23"/>
      <c r="D12" s="23"/>
    </row>
    <row r="13" spans="1:4" x14ac:dyDescent="0.3">
      <c r="A13" s="23"/>
      <c r="B13" s="23"/>
      <c r="C13" s="23"/>
      <c r="D13" s="23"/>
    </row>
    <row r="14" spans="1:4" x14ac:dyDescent="0.3">
      <c r="A14" s="23"/>
      <c r="B14" s="23"/>
      <c r="C14" s="23"/>
      <c r="D14" s="23"/>
    </row>
    <row r="15" spans="1:4" x14ac:dyDescent="0.3">
      <c r="A15" s="23"/>
      <c r="B15" s="23"/>
      <c r="C15" s="23"/>
      <c r="D15" s="23"/>
    </row>
    <row r="16" spans="1:4" x14ac:dyDescent="0.3">
      <c r="A16" s="23"/>
      <c r="B16" s="23"/>
      <c r="C16" s="23"/>
      <c r="D16" s="23"/>
    </row>
    <row r="17" spans="1:4" x14ac:dyDescent="0.3">
      <c r="A17" s="23"/>
      <c r="B17" s="23"/>
      <c r="C17" s="23"/>
      <c r="D17" s="23"/>
    </row>
    <row r="18" spans="1:4" x14ac:dyDescent="0.3">
      <c r="A18" s="23"/>
      <c r="B18" s="23"/>
      <c r="C18" s="23"/>
      <c r="D18" s="23"/>
    </row>
    <row r="19" spans="1:4" x14ac:dyDescent="0.3">
      <c r="A19" s="23"/>
      <c r="B19" s="23"/>
      <c r="C19" s="23"/>
      <c r="D19" s="23"/>
    </row>
    <row r="20" spans="1:4" x14ac:dyDescent="0.3">
      <c r="A20" s="23"/>
      <c r="B20" s="23"/>
      <c r="C20" s="23"/>
      <c r="D20" s="23"/>
    </row>
    <row r="21" spans="1:4" x14ac:dyDescent="0.3">
      <c r="A21" s="23"/>
      <c r="B21" s="23"/>
      <c r="C21" s="23"/>
      <c r="D21" s="23"/>
    </row>
    <row r="22" spans="1:4" x14ac:dyDescent="0.3">
      <c r="A22" s="23"/>
      <c r="B22" s="23"/>
      <c r="C22" s="23"/>
      <c r="D22" s="23"/>
    </row>
    <row r="23" spans="1:4" x14ac:dyDescent="0.3">
      <c r="A23" s="23"/>
      <c r="B23" s="23"/>
      <c r="C23" s="23"/>
      <c r="D23" s="23"/>
    </row>
    <row r="24" spans="1:4" x14ac:dyDescent="0.3">
      <c r="A24" s="23"/>
      <c r="B24" s="23"/>
      <c r="C24" s="23"/>
      <c r="D24" s="23"/>
    </row>
    <row r="25" spans="1:4" x14ac:dyDescent="0.3">
      <c r="A25" s="23"/>
      <c r="B25" s="23"/>
      <c r="C25" s="23"/>
      <c r="D25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Tudor Munteanu</cp:lastModifiedBy>
  <dcterms:created xsi:type="dcterms:W3CDTF">2023-12-13T22:26:23Z</dcterms:created>
  <dcterms:modified xsi:type="dcterms:W3CDTF">2023-12-15T14:59:32Z</dcterms:modified>
</cp:coreProperties>
</file>